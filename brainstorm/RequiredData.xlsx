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<sst xmlns="http://schemas.openxmlformats.org/spreadsheetml/2006/main" count="97" uniqueCount="75">
  <si>
    <t>Data yang dibutuhkan</t>
  </si>
  <si>
    <t>No</t>
  </si>
  <si>
    <t>Data</t>
  </si>
  <si>
    <t>Data URL</t>
  </si>
  <si>
    <t>https://api.open-meteo.com/v1/forecast?latitude=-6.2&amp;longitude=106.8&amp;current_weather=true</t>
  </si>
  <si>
    <t>Cuaca Saat Ini (Suhu, Kelembapan, Curah Hujan)</t>
  </si>
  <si>
    <t>https://api.openweathermap.org/data/3.0/onecall?lat={lat}&amp;lon={lon}&amp;appid={key}  -&gt; alternatif</t>
  </si>
  <si>
    <t>Prakiraan Cuaca 5 Hari</t>
  </si>
  <si>
    <t>https://data.bmkg.go.id/prakiraan-cuaca/</t>
  </si>
  <si>
    <t>Lokasi Lahan (Latitude, Longitude)</t>
  </si>
  <si>
    <t>https://nominatim.openstreetmap.org/reverse?lat=${lat}&amp;lon=${lon}&amp;format=json`</t>
  </si>
  <si>
    <t>navigator.geolocation.getCurrentPosition() (???)</t>
  </si>
  <si>
    <t>Nama Lahan</t>
  </si>
  <si>
    <t>Input Manual</t>
  </si>
  <si>
    <t>Luas Lahan (ha)</t>
  </si>
  <si>
    <t>Jenis Tanaman</t>
  </si>
  <si>
    <t>Varietas</t>
  </si>
  <si>
    <t>Tanggal Tanam</t>
  </si>
  <si>
    <t>Jenis Tanah</t>
  </si>
  <si>
    <t>Kondisi Tanaman (Normal/Layu/Kritis)</t>
  </si>
  <si>
    <t>Kondisi Air Saluran (Ada/Sedikit/Tidak Ada)</t>
  </si>
  <si>
    <t>Harvey MVP (Low Manual Input)</t>
  </si>
  <si>
    <t>Data yang Dibutuhkan</t>
  </si>
  <si>
    <t>Cara Mendapatkan</t>
  </si>
  <si>
    <t>Data URL / API</t>
  </si>
  <si>
    <t>Real Data URL</t>
  </si>
  <si>
    <t>Polygon/Batas Lahan</t>
  </si>
  <si>
    <t>User menggambar di peta (1x)</t>
  </si>
  <si>
    <t>Leaflet + OpenStreetMap</t>
  </si>
  <si>
    <t>Koordinat Lahan</t>
  </si>
  <si>
    <t>Otomatis dari polygon</t>
  </si>
  <si>
    <t>Browser Geolocation</t>
  </si>
  <si>
    <t>Luas Lahan</t>
  </si>
  <si>
    <t>Dihitung otomatis dari polygon</t>
  </si>
  <si>
    <t>Turf.js</t>
  </si>
  <si>
    <t>Pilih sekali</t>
  </si>
  <si>
    <t>Manual</t>
  </si>
  <si>
    <t>Input sekali</t>
  </si>
  <si>
    <t>Forecast Cuaca 5 Hari</t>
  </si>
  <si>
    <t>API</t>
  </si>
  <si>
    <t>OpenWeatherMap</t>
  </si>
  <si>
    <t>Cuaca Saat Ini</t>
  </si>
  <si>
    <t>Overlay GIS</t>
  </si>
  <si>
    <t>SoilGrids API</t>
  </si>
  <si>
    <t>Elevasi</t>
  </si>
  <si>
    <t>OpenTopography / SRTM</t>
  </si>
  <si>
    <t>Kemiringan Lahan</t>
  </si>
  <si>
    <t>Dihitung dari DEM</t>
  </si>
  <si>
    <t>SRTM</t>
  </si>
  <si>
    <t>NDVI (Opsional)</t>
  </si>
  <si>
    <t>Sentinel-2</t>
  </si>
  <si>
    <t>Sentinel Hub API</t>
  </si>
  <si>
    <t>Riwayat Curah Hujan</t>
  </si>
  <si>
    <t>CHIRPS</t>
  </si>
  <si>
    <t>Kalender Musim Tanam</t>
  </si>
  <si>
    <t>API/Dataset</t>
  </si>
  <si>
    <t>Kementan / BMKG</t>
  </si>
  <si>
    <t>Data yang dihitung sistem</t>
  </si>
  <si>
    <t>Cara Perhitungan</t>
  </si>
  <si>
    <t>Minggu Tanam</t>
  </si>
  <si>
    <t>Hari sejak tanggal tanam ÷ 7</t>
  </si>
  <si>
    <t>Fase Tanam</t>
  </si>
  <si>
    <t>Berdasarkan umur tanaman</t>
  </si>
  <si>
    <t>Weather Risk</t>
  </si>
  <si>
    <t>Berdasarkan forecast hujan dan suhu</t>
  </si>
  <si>
    <t>Soil Risk</t>
  </si>
  <si>
    <t>Berdasarkan jenis tanah</t>
  </si>
  <si>
    <t>Crop Stage Risk</t>
  </si>
  <si>
    <t>Berdasarkan fase tanam</t>
  </si>
  <si>
    <t>Field Condition Risk</t>
  </si>
  <si>
    <t>Berdasarkan observasi PPL</t>
  </si>
  <si>
    <t>Final Risk Score</t>
  </si>
  <si>
    <t>Gabungan seluruh skor</t>
  </si>
  <si>
    <t>Priority Ranking</t>
  </si>
  <si>
    <t>Urut berdasarkan Final Risk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</si>
</sst>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i.open-meteo.com/v1/forecast?latitude=-6.2&amp;longitude=106.8&amp;current_weather=true" TargetMode="External"/><Relationship Id="rId2" Type="http://schemas.openxmlformats.org/officeDocument/2006/relationships/hyperlink" Target="https://api.open-meteo.com/v1/forecast?latitude=-6.2&amp;longitude=106.8&amp;current_weather=true" TargetMode="External"/><Relationship Id="rId3" Type="http://schemas.openxmlformats.org/officeDocument/2006/relationships/hyperlink" Target="https://api.openweathermap.org/data/3.0/onecall?lat=%7Blat%7D&amp;lon=%7Blon%7D&amp;appid=%7Bkey%7D" TargetMode="External"/><Relationship Id="rId4" Type="http://schemas.openxmlformats.org/officeDocument/2006/relationships/hyperlink" Target="https://data.bmkg.go.id/prakiraan-cuaca/" TargetMode="External"/><Relationship Id="rId5" Type="http://schemas.openxmlformats.org/officeDocument/2006/relationships/hyperlink" Target="https://nominatim.openstreetmap.org/reverse?lat=$%7Blat%7D&amp;lon=$%7Blon%7D&amp;format=json%6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.75"/>
    <col customWidth="1" min="3" max="3" width="39.63"/>
    <col customWidth="1" min="4" max="4" width="62.75"/>
    <col customWidth="1" min="5" max="5" width="23.0"/>
  </cols>
  <sheetData>
    <row r="3">
      <c r="B3" s="1" t="s">
        <v>0</v>
      </c>
    </row>
    <row r="4">
      <c r="B4" s="2" t="s">
        <v>1</v>
      </c>
      <c r="C4" s="2" t="s">
        <v>2</v>
      </c>
      <c r="D4" s="2" t="s">
        <v>3</v>
      </c>
    </row>
    <row r="5">
      <c r="A5" s="3" t="s">
        <v>4</v>
      </c>
      <c r="B5" s="4">
        <v>1.0</v>
      </c>
      <c r="C5" s="4" t="s">
        <v>5</v>
      </c>
      <c r="D5" s="5" t="s">
        <v>4</v>
      </c>
      <c r="E5" s="6" t="s">
        <v>6</v>
      </c>
    </row>
    <row r="6">
      <c r="B6" s="4">
        <v>2.0</v>
      </c>
      <c r="C6" s="4" t="s">
        <v>7</v>
      </c>
      <c r="D6" s="5" t="s">
        <v>8</v>
      </c>
    </row>
    <row r="7">
      <c r="B7" s="4">
        <v>3.0</v>
      </c>
      <c r="C7" s="4" t="s">
        <v>9</v>
      </c>
      <c r="D7" s="5" t="s">
        <v>10</v>
      </c>
      <c r="E7" s="7" t="s">
        <v>11</v>
      </c>
    </row>
    <row r="8">
      <c r="B8" s="4">
        <v>4.0</v>
      </c>
      <c r="C8" s="4" t="s">
        <v>12</v>
      </c>
      <c r="D8" s="4" t="s">
        <v>13</v>
      </c>
    </row>
    <row r="9">
      <c r="B9" s="4">
        <v>5.0</v>
      </c>
      <c r="C9" s="4" t="s">
        <v>14</v>
      </c>
      <c r="D9" s="4" t="s">
        <v>13</v>
      </c>
    </row>
    <row r="10">
      <c r="B10" s="4">
        <v>6.0</v>
      </c>
      <c r="C10" s="4" t="s">
        <v>15</v>
      </c>
      <c r="D10" s="4" t="s">
        <v>13</v>
      </c>
    </row>
    <row r="11">
      <c r="B11" s="4">
        <v>7.0</v>
      </c>
      <c r="C11" s="4" t="s">
        <v>16</v>
      </c>
      <c r="D11" s="4" t="s">
        <v>13</v>
      </c>
    </row>
    <row r="12">
      <c r="B12" s="4">
        <v>8.0</v>
      </c>
      <c r="C12" s="4" t="s">
        <v>17</v>
      </c>
      <c r="D12" s="4" t="s">
        <v>13</v>
      </c>
    </row>
    <row r="13">
      <c r="B13" s="4">
        <v>9.0</v>
      </c>
      <c r="C13" s="4" t="s">
        <v>18</v>
      </c>
      <c r="D13" s="4" t="s">
        <v>13</v>
      </c>
    </row>
    <row r="14">
      <c r="B14" s="4">
        <v>10.0</v>
      </c>
      <c r="C14" s="4" t="s">
        <v>19</v>
      </c>
      <c r="D14" s="4" t="s">
        <v>13</v>
      </c>
    </row>
    <row r="15">
      <c r="B15" s="4">
        <v>11.0</v>
      </c>
      <c r="C15" s="4" t="s">
        <v>20</v>
      </c>
      <c r="D15" s="4" t="s">
        <v>13</v>
      </c>
    </row>
    <row r="17">
      <c r="B17" s="1"/>
      <c r="D17" s="1"/>
    </row>
    <row r="18">
      <c r="C18" s="1" t="s">
        <v>21</v>
      </c>
      <c r="D18" s="1" t="s">
        <v>22</v>
      </c>
    </row>
    <row r="19">
      <c r="B19" s="2" t="s">
        <v>1</v>
      </c>
      <c r="C19" s="2" t="s">
        <v>2</v>
      </c>
      <c r="D19" s="2" t="s">
        <v>23</v>
      </c>
      <c r="E19" s="2" t="s">
        <v>24</v>
      </c>
      <c r="F19" s="4" t="s">
        <v>25</v>
      </c>
    </row>
    <row r="20">
      <c r="B20" s="4">
        <v>1.0</v>
      </c>
      <c r="C20" s="4" t="s">
        <v>26</v>
      </c>
      <c r="D20" s="4" t="s">
        <v>27</v>
      </c>
      <c r="E20" s="4" t="s">
        <v>28</v>
      </c>
      <c r="F20" s="8"/>
    </row>
    <row r="21">
      <c r="B21" s="4">
        <v>2.0</v>
      </c>
      <c r="C21" s="4" t="s">
        <v>29</v>
      </c>
      <c r="D21" s="4" t="s">
        <v>30</v>
      </c>
      <c r="E21" s="4" t="s">
        <v>31</v>
      </c>
      <c r="F21" s="8"/>
    </row>
    <row r="22">
      <c r="B22" s="4">
        <v>3.0</v>
      </c>
      <c r="C22" s="4" t="s">
        <v>32</v>
      </c>
      <c r="D22" s="4" t="s">
        <v>33</v>
      </c>
      <c r="E22" s="4" t="s">
        <v>34</v>
      </c>
      <c r="F22" s="8"/>
    </row>
    <row r="23">
      <c r="B23" s="4">
        <v>4.0</v>
      </c>
      <c r="C23" s="4" t="s">
        <v>15</v>
      </c>
      <c r="D23" s="4" t="s">
        <v>35</v>
      </c>
      <c r="E23" s="4" t="s">
        <v>36</v>
      </c>
      <c r="F23" s="8"/>
    </row>
    <row r="24">
      <c r="B24" s="4">
        <v>5.0</v>
      </c>
      <c r="C24" s="4" t="s">
        <v>17</v>
      </c>
      <c r="D24" s="4" t="s">
        <v>37</v>
      </c>
      <c r="E24" s="4" t="s">
        <v>36</v>
      </c>
      <c r="F24" s="8"/>
    </row>
    <row r="25">
      <c r="B25" s="4">
        <v>6.0</v>
      </c>
      <c r="C25" s="4" t="s">
        <v>38</v>
      </c>
      <c r="D25" s="4" t="s">
        <v>39</v>
      </c>
      <c r="E25" s="4" t="s">
        <v>40</v>
      </c>
      <c r="F25" s="8"/>
    </row>
    <row r="26">
      <c r="B26" s="4">
        <v>7.0</v>
      </c>
      <c r="C26" s="4" t="s">
        <v>41</v>
      </c>
      <c r="D26" s="4" t="s">
        <v>39</v>
      </c>
      <c r="E26" s="4" t="s">
        <v>40</v>
      </c>
      <c r="F26" s="8"/>
    </row>
    <row r="27">
      <c r="B27" s="4">
        <v>8.0</v>
      </c>
      <c r="C27" s="4" t="s">
        <v>18</v>
      </c>
      <c r="D27" s="4" t="s">
        <v>42</v>
      </c>
      <c r="E27" s="4" t="s">
        <v>43</v>
      </c>
      <c r="F27" s="8"/>
    </row>
    <row r="28">
      <c r="B28" s="4">
        <v>9.0</v>
      </c>
      <c r="C28" s="4" t="s">
        <v>44</v>
      </c>
      <c r="D28" s="4" t="s">
        <v>42</v>
      </c>
      <c r="E28" s="4" t="s">
        <v>45</v>
      </c>
      <c r="F28" s="8"/>
    </row>
    <row r="29">
      <c r="B29" s="4">
        <v>10.0</v>
      </c>
      <c r="C29" s="4" t="s">
        <v>46</v>
      </c>
      <c r="D29" s="4" t="s">
        <v>47</v>
      </c>
      <c r="E29" s="4" t="s">
        <v>48</v>
      </c>
      <c r="F29" s="8"/>
    </row>
    <row r="30">
      <c r="B30" s="4">
        <v>11.0</v>
      </c>
      <c r="C30" s="4" t="s">
        <v>49</v>
      </c>
      <c r="D30" s="4" t="s">
        <v>50</v>
      </c>
      <c r="E30" s="4" t="s">
        <v>51</v>
      </c>
      <c r="F30" s="8"/>
    </row>
    <row r="31">
      <c r="B31" s="4">
        <v>12.0</v>
      </c>
      <c r="C31" s="4" t="s">
        <v>52</v>
      </c>
      <c r="D31" s="4" t="s">
        <v>39</v>
      </c>
      <c r="E31" s="4" t="s">
        <v>53</v>
      </c>
      <c r="F31" s="8"/>
    </row>
    <row r="32">
      <c r="B32" s="4">
        <v>13.0</v>
      </c>
      <c r="C32" s="4" t="s">
        <v>54</v>
      </c>
      <c r="D32" s="4" t="s">
        <v>55</v>
      </c>
      <c r="E32" s="4" t="s">
        <v>56</v>
      </c>
      <c r="F32" s="8"/>
    </row>
    <row r="53">
      <c r="B53" s="1" t="s">
        <v>57</v>
      </c>
    </row>
    <row r="54">
      <c r="B54" s="2" t="s">
        <v>1</v>
      </c>
      <c r="C54" s="2" t="s">
        <v>2</v>
      </c>
      <c r="D54" s="2" t="s">
        <v>3</v>
      </c>
    </row>
    <row r="55">
      <c r="B55" s="4">
        <v>1.0</v>
      </c>
      <c r="C55" s="4" t="s">
        <v>2</v>
      </c>
      <c r="D55" s="4" t="s">
        <v>58</v>
      </c>
    </row>
    <row r="56">
      <c r="B56" s="8">
        <f t="shared" ref="B56:B64" si="1">B55+1</f>
        <v>2</v>
      </c>
      <c r="C56" s="4" t="s">
        <v>59</v>
      </c>
      <c r="D56" s="4" t="s">
        <v>60</v>
      </c>
    </row>
    <row r="57">
      <c r="B57" s="8">
        <f t="shared" si="1"/>
        <v>3</v>
      </c>
      <c r="C57" s="4" t="s">
        <v>61</v>
      </c>
      <c r="D57" s="4" t="s">
        <v>62</v>
      </c>
    </row>
    <row r="58">
      <c r="B58" s="8">
        <f t="shared" si="1"/>
        <v>4</v>
      </c>
      <c r="C58" s="4" t="s">
        <v>63</v>
      </c>
      <c r="D58" s="4" t="s">
        <v>64</v>
      </c>
    </row>
    <row r="59">
      <c r="B59" s="8">
        <f t="shared" si="1"/>
        <v>5</v>
      </c>
      <c r="C59" s="4" t="s">
        <v>65</v>
      </c>
      <c r="D59" s="4" t="s">
        <v>66</v>
      </c>
    </row>
    <row r="60">
      <c r="B60" s="8">
        <f t="shared" si="1"/>
        <v>6</v>
      </c>
      <c r="C60" s="4" t="s">
        <v>67</v>
      </c>
      <c r="D60" s="4" t="s">
        <v>68</v>
      </c>
    </row>
    <row r="61">
      <c r="B61" s="8">
        <f t="shared" si="1"/>
        <v>7</v>
      </c>
      <c r="C61" s="4" t="s">
        <v>69</v>
      </c>
      <c r="D61" s="4" t="s">
        <v>70</v>
      </c>
    </row>
    <row r="62">
      <c r="B62" s="8">
        <f t="shared" si="1"/>
        <v>8</v>
      </c>
      <c r="C62" s="4" t="s">
        <v>71</v>
      </c>
      <c r="D62" s="4" t="s">
        <v>72</v>
      </c>
    </row>
    <row r="63">
      <c r="B63" s="8">
        <f t="shared" si="1"/>
        <v>9</v>
      </c>
      <c r="C63" s="4" t="s">
        <v>73</v>
      </c>
      <c r="D63" s="4" t="s">
        <v>74</v>
      </c>
    </row>
    <row r="64">
      <c r="B64" s="8">
        <f t="shared" si="1"/>
        <v>10</v>
      </c>
      <c r="C64" s="8"/>
      <c r="D64" s="8"/>
    </row>
  </sheetData>
  <mergeCells count="2">
    <mergeCell ref="B3:D3"/>
    <mergeCell ref="B53:D53"/>
  </mergeCells>
  <hyperlinks>
    <hyperlink r:id="rId1" ref="A5"/>
    <hyperlink r:id="rId2" ref="D5"/>
    <hyperlink r:id="rId3" ref="E5"/>
    <hyperlink r:id="rId4" ref="D6"/>
    <hyperlink r:id="rId5" ref="D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